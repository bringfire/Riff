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achakrabarty/Downloads/"/>
    </mc:Choice>
  </mc:AlternateContent>
  <xr:revisionPtr revIDLastSave="0" documentId="13_ncr:1_{F16FA69D-FF47-F54B-9A17-73956C53F64F}" xr6:coauthVersionLast="45" xr6:coauthVersionMax="45" xr10:uidLastSave="{00000000-0000-0000-0000-000000000000}"/>
  <bookViews>
    <workbookView xWindow="0" yWindow="500" windowWidth="28800" windowHeight="16300" xr2:uid="{00000000-000D-0000-FFFF-FFFF00000000}"/>
  </bookViews>
  <sheets>
    <sheet name="studyarea_zoning" sheetId="1" r:id="rId1"/>
  </sheets>
  <calcPr calcId="191029"/>
</workbook>
</file>

<file path=xl/calcChain.xml><?xml version="1.0" encoding="utf-8"?>
<calcChain xmlns="http://schemas.openxmlformats.org/spreadsheetml/2006/main">
  <c r="M9" i="1" l="1"/>
  <c r="M11" i="1"/>
  <c r="K10" i="1"/>
  <c r="L8" i="1"/>
  <c r="K8" i="1"/>
  <c r="J8" i="1"/>
  <c r="I8" i="1"/>
  <c r="L7" i="1"/>
  <c r="L6" i="1"/>
  <c r="L5" i="1"/>
  <c r="L4" i="1"/>
  <c r="L3" i="1"/>
  <c r="L2" i="1"/>
  <c r="K9" i="1"/>
  <c r="L9" i="1" s="1"/>
  <c r="K7" i="1"/>
  <c r="J7" i="1"/>
  <c r="I7" i="1"/>
  <c r="K6" i="1"/>
  <c r="K5" i="1"/>
  <c r="K4" i="1"/>
  <c r="J6" i="1"/>
  <c r="I6" i="1"/>
  <c r="J5" i="1"/>
  <c r="I5" i="1"/>
  <c r="J4" i="1"/>
  <c r="I4" i="1"/>
  <c r="K3" i="1"/>
  <c r="J3" i="1"/>
  <c r="I3" i="1"/>
  <c r="K2" i="1"/>
  <c r="J2" i="1"/>
</calcChain>
</file>

<file path=xl/sharedStrings.xml><?xml version="1.0" encoding="utf-8"?>
<sst xmlns="http://schemas.openxmlformats.org/spreadsheetml/2006/main" count="281" uniqueCount="22">
  <si>
    <t>fid</t>
  </si>
  <si>
    <t>ZONING_REV</t>
  </si>
  <si>
    <t>ZCODE_N</t>
  </si>
  <si>
    <t>ZDESCR_N</t>
  </si>
  <si>
    <t>Shape__Are</t>
  </si>
  <si>
    <t>Shape__Len</t>
  </si>
  <si>
    <t>Area</t>
  </si>
  <si>
    <t>M4</t>
  </si>
  <si>
    <t>Intensive Industrial District</t>
  </si>
  <si>
    <t>R2</t>
  </si>
  <si>
    <t>Two-Family Residential District</t>
  </si>
  <si>
    <t>B4</t>
  </si>
  <si>
    <t>General Business District</t>
  </si>
  <si>
    <t>M2</t>
  </si>
  <si>
    <t>Restricted Industrial District</t>
  </si>
  <si>
    <t>B2</t>
  </si>
  <si>
    <t>Local Business and Residential District</t>
  </si>
  <si>
    <t>R1</t>
  </si>
  <si>
    <t>Single-Family Residential District</t>
  </si>
  <si>
    <t>R3</t>
  </si>
  <si>
    <t>Low Density Residential District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</si>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</sst>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"/>
    <numFmt numFmtId="173" formatCode="0.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/>
    <xf numFmtId="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workbookViewId="0">
      <selection activeCell="M22" sqref="M22"/>
    </sheetView>
  </sheetViews>
  <sheetFormatPr baseColWidth="10" defaultRowHeight="16" x14ac:dyDescent="0.15"/>
  <cols>
    <col min="1" max="3" width="15"/>
    <col min="4" max="4" width="18.5" customWidth="1"/>
    <col min="5" max="8" width="15"/>
    <col min="9" max="9" width="31.33203125" bestFit="1" customWidth="1"/>
    <col min="10" max="1024" width="15"/>
  </cols>
  <sheetData>
    <row r="1" spans="1:13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ht="13" x14ac:dyDescent="0.15">
      <c r="A2">
        <v>783</v>
      </c>
      <c r="B2" t="s">
        <v>7</v>
      </c>
      <c r="C2">
        <v>340</v>
      </c>
      <c r="D2" t="s">
        <v>8</v>
      </c>
      <c r="E2">
        <v>26867.5327148</v>
      </c>
      <c r="F2">
        <v>708.68775876200004</v>
      </c>
      <c r="G2">
        <v>8873.9659487403114</v>
      </c>
      <c r="I2" t="s">
        <v>8</v>
      </c>
      <c r="J2">
        <f>SUM(G2:G6)</f>
        <v>251349.02890918526</v>
      </c>
      <c r="K2" s="3">
        <f>J2/1000000</f>
        <v>0.25134902890918526</v>
      </c>
      <c r="L2">
        <f>K2/K11*100</f>
        <v>15.141507765613571</v>
      </c>
      <c r="M2">
        <v>15</v>
      </c>
    </row>
    <row r="3" spans="1:13" ht="13" x14ac:dyDescent="0.15">
      <c r="A3">
        <v>784</v>
      </c>
      <c r="B3" t="s">
        <v>7</v>
      </c>
      <c r="C3">
        <v>340</v>
      </c>
      <c r="D3" t="s">
        <v>8</v>
      </c>
      <c r="E3">
        <v>21969.8144531</v>
      </c>
      <c r="F3">
        <v>639.81691901500005</v>
      </c>
      <c r="G3">
        <v>2041.325154633261</v>
      </c>
      <c r="I3" t="str">
        <f>D7</f>
        <v>Two-Family Residential District</v>
      </c>
      <c r="J3">
        <f>SUM(G7:G45)</f>
        <v>265442.58743813733</v>
      </c>
      <c r="K3" s="4">
        <f>J3/1000000</f>
        <v>0.26544258743813731</v>
      </c>
      <c r="L3">
        <f>K3/K11*100</f>
        <v>15.99051731555044</v>
      </c>
      <c r="M3">
        <v>16</v>
      </c>
    </row>
    <row r="4" spans="1:13" ht="13" x14ac:dyDescent="0.15">
      <c r="A4">
        <v>787</v>
      </c>
      <c r="B4" t="s">
        <v>7</v>
      </c>
      <c r="C4">
        <v>340</v>
      </c>
      <c r="D4" t="s">
        <v>8</v>
      </c>
      <c r="E4">
        <v>117062.00293</v>
      </c>
      <c r="F4">
        <v>1504.1823089500001</v>
      </c>
      <c r="G4">
        <v>10876.81813374255</v>
      </c>
      <c r="I4" t="str">
        <f>D46</f>
        <v>General Business District</v>
      </c>
      <c r="J4">
        <f>SUM(G46:G68)</f>
        <v>84220.323151947494</v>
      </c>
      <c r="K4" s="4">
        <f>J4/1000000</f>
        <v>8.4220323151947496E-2</v>
      </c>
      <c r="L4">
        <f>K4/K11*100</f>
        <v>5.0735134428884034</v>
      </c>
      <c r="M4">
        <v>5</v>
      </c>
    </row>
    <row r="5" spans="1:13" ht="13" x14ac:dyDescent="0.15">
      <c r="A5">
        <v>792</v>
      </c>
      <c r="B5" t="s">
        <v>7</v>
      </c>
      <c r="C5">
        <v>340</v>
      </c>
      <c r="D5" t="s">
        <v>8</v>
      </c>
      <c r="E5">
        <v>726998.42675800005</v>
      </c>
      <c r="F5">
        <v>5597.5962347900004</v>
      </c>
      <c r="G5">
        <v>112731.415116959</v>
      </c>
      <c r="I5" t="str">
        <f>D69</f>
        <v>Restricted Industrial District</v>
      </c>
      <c r="J5">
        <f>SUM(G74:G136)</f>
        <v>510448.91906482109</v>
      </c>
      <c r="K5" s="4">
        <f>J5/1000000</f>
        <v>0.51044891906482104</v>
      </c>
      <c r="L5">
        <f>K5/K11*100</f>
        <v>30.749934883422959</v>
      </c>
      <c r="M5">
        <v>31</v>
      </c>
    </row>
    <row r="6" spans="1:13" ht="13" x14ac:dyDescent="0.15">
      <c r="A6">
        <v>795</v>
      </c>
      <c r="B6" t="s">
        <v>7</v>
      </c>
      <c r="C6">
        <v>340</v>
      </c>
      <c r="D6" t="s">
        <v>8</v>
      </c>
      <c r="E6">
        <v>1263030.2734399999</v>
      </c>
      <c r="F6">
        <v>8891.2332004599994</v>
      </c>
      <c r="G6">
        <v>116825.50455511011</v>
      </c>
      <c r="I6" t="str">
        <f>D137</f>
        <v>Low Density Residential District</v>
      </c>
      <c r="J6">
        <f>G137</f>
        <v>1656.1239647702739</v>
      </c>
      <c r="K6" s="4">
        <f>J6/1000000</f>
        <v>1.6561239647702739E-3</v>
      </c>
      <c r="L6">
        <f>K6/K11*100</f>
        <v>9.9766503901823719E-2</v>
      </c>
      <c r="M6">
        <v>0.09</v>
      </c>
    </row>
    <row r="7" spans="1:13" ht="13" x14ac:dyDescent="0.15">
      <c r="A7">
        <v>9520</v>
      </c>
      <c r="B7" t="s">
        <v>9</v>
      </c>
      <c r="C7">
        <v>120</v>
      </c>
      <c r="D7" t="s">
        <v>10</v>
      </c>
      <c r="E7">
        <v>65339.1611328</v>
      </c>
      <c r="F7">
        <v>1322.3241428199999</v>
      </c>
      <c r="G7">
        <v>6070.9894228354096</v>
      </c>
      <c r="I7" t="str">
        <f>D73</f>
        <v>Local Business and Residential District</v>
      </c>
      <c r="J7">
        <f>G73</f>
        <v>6347.1082160446094</v>
      </c>
      <c r="K7" s="4">
        <f>J7/1000000</f>
        <v>6.347108216044609E-3</v>
      </c>
      <c r="L7">
        <f>K7/K11*100</f>
        <v>0.38235591662919333</v>
      </c>
      <c r="M7">
        <v>0.38</v>
      </c>
    </row>
    <row r="8" spans="1:13" ht="13" x14ac:dyDescent="0.15">
      <c r="A8">
        <v>9521</v>
      </c>
      <c r="B8" t="s">
        <v>9</v>
      </c>
      <c r="C8">
        <v>120</v>
      </c>
      <c r="D8" t="s">
        <v>10</v>
      </c>
      <c r="E8">
        <v>64950.9838867</v>
      </c>
      <c r="F8">
        <v>1320.3369099199999</v>
      </c>
      <c r="G8">
        <v>6034.9216797999106</v>
      </c>
      <c r="I8" t="str">
        <f>D74</f>
        <v>Single-Family Residential District</v>
      </c>
      <c r="J8">
        <f>SUM(G74:G136)</f>
        <v>510448.91906482109</v>
      </c>
      <c r="K8" s="3">
        <f>J8/1000000</f>
        <v>0.51044891906482104</v>
      </c>
      <c r="L8" s="2">
        <f>K8/K11*100</f>
        <v>30.749934883422959</v>
      </c>
      <c r="M8">
        <v>31</v>
      </c>
    </row>
    <row r="9" spans="1:13" ht="13" x14ac:dyDescent="0.15">
      <c r="A9">
        <v>9523</v>
      </c>
      <c r="B9" t="s">
        <v>9</v>
      </c>
      <c r="C9">
        <v>120</v>
      </c>
      <c r="D9" t="s">
        <v>10</v>
      </c>
      <c r="E9">
        <v>54010.9365234</v>
      </c>
      <c r="F9">
        <v>1280.0922606199999</v>
      </c>
      <c r="G9">
        <v>5018.4271173726302</v>
      </c>
      <c r="I9" t="s">
        <v>21</v>
      </c>
      <c r="K9" s="3">
        <f>K11-K10</f>
        <v>3.0086990190272944E-2</v>
      </c>
      <c r="L9">
        <f>K9/K11*100</f>
        <v>1.8124692885706593</v>
      </c>
      <c r="M9">
        <f>M11-SUM(M2:M8)</f>
        <v>1.5300000000000011</v>
      </c>
    </row>
    <row r="10" spans="1:13" ht="13" x14ac:dyDescent="0.15">
      <c r="A10">
        <v>9525</v>
      </c>
      <c r="B10" t="s">
        <v>9</v>
      </c>
      <c r="C10">
        <v>120</v>
      </c>
      <c r="D10" t="s">
        <v>10</v>
      </c>
      <c r="E10">
        <v>53992.0620117</v>
      </c>
      <c r="F10">
        <v>1280.0949965899999</v>
      </c>
      <c r="G10">
        <v>5016.6735549427103</v>
      </c>
      <c r="K10" s="3">
        <f>SUM(K2:K8)</f>
        <v>1.629913009809727</v>
      </c>
    </row>
    <row r="11" spans="1:13" ht="13" x14ac:dyDescent="0.15">
      <c r="A11">
        <v>9526</v>
      </c>
      <c r="B11" t="s">
        <v>9</v>
      </c>
      <c r="C11">
        <v>120</v>
      </c>
      <c r="D11" t="s">
        <v>10</v>
      </c>
      <c r="E11">
        <v>53985.3540039</v>
      </c>
      <c r="F11">
        <v>1279.9966197700001</v>
      </c>
      <c r="G11">
        <v>5016.0503363874741</v>
      </c>
      <c r="K11" s="1">
        <v>1.66</v>
      </c>
      <c r="M11">
        <f>100</f>
        <v>100</v>
      </c>
    </row>
    <row r="12" spans="1:13" ht="13" x14ac:dyDescent="0.15">
      <c r="A12">
        <v>9527</v>
      </c>
      <c r="B12" t="s">
        <v>9</v>
      </c>
      <c r="C12">
        <v>120</v>
      </c>
      <c r="D12" t="s">
        <v>10</v>
      </c>
      <c r="E12">
        <v>53997.4550781</v>
      </c>
      <c r="F12">
        <v>1279.99802813</v>
      </c>
      <c r="G12">
        <v>5017.1745258718729</v>
      </c>
    </row>
    <row r="13" spans="1:13" ht="13" x14ac:dyDescent="0.15">
      <c r="A13">
        <v>9529</v>
      </c>
      <c r="B13" t="s">
        <v>9</v>
      </c>
      <c r="C13">
        <v>120</v>
      </c>
      <c r="D13" t="s">
        <v>10</v>
      </c>
      <c r="E13">
        <v>53986.8964844</v>
      </c>
      <c r="F13">
        <v>1279.7845498700001</v>
      </c>
      <c r="G13">
        <v>5016.1935666964864</v>
      </c>
    </row>
    <row r="14" spans="1:13" ht="13" x14ac:dyDescent="0.15">
      <c r="A14">
        <v>9531</v>
      </c>
      <c r="B14" t="s">
        <v>9</v>
      </c>
      <c r="C14">
        <v>120</v>
      </c>
      <c r="D14" t="s">
        <v>10</v>
      </c>
      <c r="E14">
        <v>53984.7475586</v>
      </c>
      <c r="F14">
        <v>1279.80888291</v>
      </c>
      <c r="G14">
        <v>5015.9938340967065</v>
      </c>
    </row>
    <row r="15" spans="1:13" ht="13" x14ac:dyDescent="0.15">
      <c r="A15">
        <v>9533</v>
      </c>
      <c r="B15" t="s">
        <v>9</v>
      </c>
      <c r="C15">
        <v>120</v>
      </c>
      <c r="D15" t="s">
        <v>10</v>
      </c>
      <c r="E15">
        <v>56189.234375</v>
      </c>
      <c r="F15">
        <v>1287.68373021</v>
      </c>
      <c r="G15">
        <v>5220.8237205459736</v>
      </c>
    </row>
    <row r="16" spans="1:13" ht="13" x14ac:dyDescent="0.15">
      <c r="A16">
        <v>9535</v>
      </c>
      <c r="B16" t="s">
        <v>9</v>
      </c>
      <c r="C16">
        <v>120</v>
      </c>
      <c r="D16" t="s">
        <v>10</v>
      </c>
      <c r="E16">
        <v>72543.2021484</v>
      </c>
      <c r="F16">
        <v>1345.7874381700001</v>
      </c>
      <c r="G16">
        <v>6740.3532029872295</v>
      </c>
    </row>
    <row r="17" spans="1:7" ht="13" x14ac:dyDescent="0.15">
      <c r="A17">
        <v>9536</v>
      </c>
      <c r="B17" t="s">
        <v>9</v>
      </c>
      <c r="C17">
        <v>120</v>
      </c>
      <c r="D17" t="s">
        <v>10</v>
      </c>
      <c r="E17">
        <v>71015.5820313</v>
      </c>
      <c r="F17">
        <v>1339.5921529100001</v>
      </c>
      <c r="G17">
        <v>6598.4144112188369</v>
      </c>
    </row>
    <row r="18" spans="1:7" ht="13" x14ac:dyDescent="0.15">
      <c r="A18">
        <v>9538</v>
      </c>
      <c r="B18" t="s">
        <v>9</v>
      </c>
      <c r="C18">
        <v>120</v>
      </c>
      <c r="D18" t="s">
        <v>10</v>
      </c>
      <c r="E18">
        <v>70987.771972699993</v>
      </c>
      <c r="F18">
        <v>1339.7758337</v>
      </c>
      <c r="G18">
        <v>6595.8305853166376</v>
      </c>
    </row>
    <row r="19" spans="1:7" ht="13" x14ac:dyDescent="0.15">
      <c r="A19">
        <v>9601</v>
      </c>
      <c r="B19" t="s">
        <v>9</v>
      </c>
      <c r="C19">
        <v>120</v>
      </c>
      <c r="D19" t="s">
        <v>10</v>
      </c>
      <c r="E19">
        <v>48114.8515625</v>
      </c>
      <c r="F19">
        <v>1162.61268963</v>
      </c>
      <c r="G19">
        <v>4470.5943849675823</v>
      </c>
    </row>
    <row r="20" spans="1:7" ht="13" x14ac:dyDescent="0.15">
      <c r="A20">
        <v>9603</v>
      </c>
      <c r="B20" t="s">
        <v>9</v>
      </c>
      <c r="C20">
        <v>120</v>
      </c>
      <c r="D20" t="s">
        <v>10</v>
      </c>
      <c r="E20">
        <v>48112.9794922</v>
      </c>
      <c r="F20">
        <v>1162.0837887499999</v>
      </c>
      <c r="G20">
        <v>4470.4204208750161</v>
      </c>
    </row>
    <row r="21" spans="1:7" ht="13" x14ac:dyDescent="0.15">
      <c r="A21">
        <v>9605</v>
      </c>
      <c r="B21" t="s">
        <v>9</v>
      </c>
      <c r="C21">
        <v>120</v>
      </c>
      <c r="D21" t="s">
        <v>10</v>
      </c>
      <c r="E21">
        <v>50004.2202148</v>
      </c>
      <c r="F21">
        <v>1170.4423867099999</v>
      </c>
      <c r="G21">
        <v>4646.1451677282457</v>
      </c>
    </row>
    <row r="22" spans="1:7" ht="13" x14ac:dyDescent="0.15">
      <c r="A22">
        <v>9607</v>
      </c>
      <c r="B22" t="s">
        <v>9</v>
      </c>
      <c r="C22">
        <v>120</v>
      </c>
      <c r="D22" t="s">
        <v>10</v>
      </c>
      <c r="E22">
        <v>64796.3393555</v>
      </c>
      <c r="F22">
        <v>1232.06921182</v>
      </c>
      <c r="G22">
        <v>6020.5558001599265</v>
      </c>
    </row>
    <row r="23" spans="1:7" ht="13" x14ac:dyDescent="0.15">
      <c r="A23">
        <v>9651</v>
      </c>
      <c r="B23" t="s">
        <v>9</v>
      </c>
      <c r="C23">
        <v>120</v>
      </c>
      <c r="D23" t="s">
        <v>10</v>
      </c>
      <c r="E23">
        <v>118640.41845700001</v>
      </c>
      <c r="F23">
        <v>2210.70924354</v>
      </c>
      <c r="G23">
        <v>11023.483282691799</v>
      </c>
    </row>
    <row r="24" spans="1:7" ht="13" x14ac:dyDescent="0.15">
      <c r="A24">
        <v>9652</v>
      </c>
      <c r="B24" t="s">
        <v>9</v>
      </c>
      <c r="C24">
        <v>120</v>
      </c>
      <c r="D24" t="s">
        <v>10</v>
      </c>
      <c r="E24">
        <v>98436.2246094</v>
      </c>
      <c r="F24">
        <v>2168.6257627999998</v>
      </c>
      <c r="G24">
        <v>9146.2090117351618</v>
      </c>
    </row>
    <row r="25" spans="1:7" ht="13" x14ac:dyDescent="0.15">
      <c r="A25">
        <v>9655</v>
      </c>
      <c r="B25" t="s">
        <v>9</v>
      </c>
      <c r="C25">
        <v>120</v>
      </c>
      <c r="D25" t="s">
        <v>10</v>
      </c>
      <c r="E25">
        <v>98500.729003900007</v>
      </c>
      <c r="F25">
        <v>2170.52837258</v>
      </c>
      <c r="G25">
        <v>9152.20317648747</v>
      </c>
    </row>
    <row r="26" spans="1:7" ht="13" x14ac:dyDescent="0.15">
      <c r="A26">
        <v>9656</v>
      </c>
      <c r="B26" t="s">
        <v>9</v>
      </c>
      <c r="C26">
        <v>120</v>
      </c>
      <c r="D26" t="s">
        <v>10</v>
      </c>
      <c r="E26">
        <v>98490.280761700007</v>
      </c>
      <c r="F26">
        <v>2169.9218572099999</v>
      </c>
      <c r="G26">
        <v>9151.231955912197</v>
      </c>
    </row>
    <row r="27" spans="1:7" ht="13" x14ac:dyDescent="0.15">
      <c r="A27">
        <v>9657</v>
      </c>
      <c r="B27" t="s">
        <v>9</v>
      </c>
      <c r="C27">
        <v>120</v>
      </c>
      <c r="D27" t="s">
        <v>10</v>
      </c>
      <c r="E27">
        <v>98474.2714844</v>
      </c>
      <c r="F27">
        <v>2169.63905561</v>
      </c>
      <c r="G27">
        <v>9149.7445238665678</v>
      </c>
    </row>
    <row r="28" spans="1:7" ht="13" x14ac:dyDescent="0.15">
      <c r="A28">
        <v>9658</v>
      </c>
      <c r="B28" t="s">
        <v>9</v>
      </c>
      <c r="C28">
        <v>120</v>
      </c>
      <c r="D28" t="s">
        <v>10</v>
      </c>
      <c r="E28">
        <v>234244.30517599999</v>
      </c>
      <c r="F28">
        <v>1941.5017467099999</v>
      </c>
      <c r="G28">
        <v>21764.831973478202</v>
      </c>
    </row>
    <row r="29" spans="1:7" ht="13" x14ac:dyDescent="0.15">
      <c r="A29">
        <v>9660</v>
      </c>
      <c r="B29" t="s">
        <v>9</v>
      </c>
      <c r="C29">
        <v>120</v>
      </c>
      <c r="D29" t="s">
        <v>10</v>
      </c>
      <c r="E29">
        <v>126726.691406</v>
      </c>
      <c r="F29">
        <v>2234.3618055799998</v>
      </c>
      <c r="G29">
        <v>11774.820427142429</v>
      </c>
    </row>
    <row r="30" spans="1:7" ht="13" x14ac:dyDescent="0.15">
      <c r="A30">
        <v>9661</v>
      </c>
      <c r="B30" t="s">
        <v>9</v>
      </c>
      <c r="C30">
        <v>120</v>
      </c>
      <c r="D30" t="s">
        <v>10</v>
      </c>
      <c r="E30">
        <v>127026.350586</v>
      </c>
      <c r="F30">
        <v>2243.0745008499998</v>
      </c>
      <c r="G30">
        <v>11802.663470963709</v>
      </c>
    </row>
    <row r="31" spans="1:7" ht="13" x14ac:dyDescent="0.15">
      <c r="A31">
        <v>9695</v>
      </c>
      <c r="B31" t="s">
        <v>9</v>
      </c>
      <c r="C31">
        <v>120</v>
      </c>
      <c r="D31" t="s">
        <v>10</v>
      </c>
      <c r="E31">
        <v>62074.921875</v>
      </c>
      <c r="F31">
        <v>1441.8320828400001</v>
      </c>
      <c r="G31">
        <v>5767.6997400247492</v>
      </c>
    </row>
    <row r="32" spans="1:7" ht="13" x14ac:dyDescent="0.15">
      <c r="A32">
        <v>9696</v>
      </c>
      <c r="B32" t="s">
        <v>9</v>
      </c>
      <c r="C32">
        <v>120</v>
      </c>
      <c r="D32" t="s">
        <v>10</v>
      </c>
      <c r="E32">
        <v>62088.0795898</v>
      </c>
      <c r="F32">
        <v>1441.9388578799999</v>
      </c>
      <c r="G32">
        <v>5768.9224112299271</v>
      </c>
    </row>
    <row r="33" spans="1:7" ht="13" x14ac:dyDescent="0.15">
      <c r="A33">
        <v>9697</v>
      </c>
      <c r="B33" t="s">
        <v>9</v>
      </c>
      <c r="C33">
        <v>120</v>
      </c>
      <c r="D33" t="s">
        <v>10</v>
      </c>
      <c r="E33">
        <v>62104.5019531</v>
      </c>
      <c r="F33">
        <v>1442.0266237400001</v>
      </c>
      <c r="G33">
        <v>5770.4482953778934</v>
      </c>
    </row>
    <row r="34" spans="1:7" ht="13" x14ac:dyDescent="0.15">
      <c r="A34">
        <v>9698</v>
      </c>
      <c r="B34" t="s">
        <v>9</v>
      </c>
      <c r="C34">
        <v>120</v>
      </c>
      <c r="D34" t="s">
        <v>10</v>
      </c>
      <c r="E34">
        <v>62091.8623047</v>
      </c>
      <c r="F34">
        <v>1442.02578494</v>
      </c>
      <c r="G34">
        <v>5769.2738833015319</v>
      </c>
    </row>
    <row r="35" spans="1:7" ht="13" x14ac:dyDescent="0.15">
      <c r="A35">
        <v>9699</v>
      </c>
      <c r="B35" t="s">
        <v>9</v>
      </c>
      <c r="C35">
        <v>120</v>
      </c>
      <c r="D35" t="s">
        <v>10</v>
      </c>
      <c r="E35">
        <v>62103.7880859</v>
      </c>
      <c r="F35">
        <v>1442.0005651199999</v>
      </c>
      <c r="G35">
        <v>5770.3819914446212</v>
      </c>
    </row>
    <row r="36" spans="1:7" ht="13" x14ac:dyDescent="0.15">
      <c r="A36">
        <v>9701</v>
      </c>
      <c r="B36" t="s">
        <v>9</v>
      </c>
      <c r="C36">
        <v>120</v>
      </c>
      <c r="D36" t="s">
        <v>10</v>
      </c>
      <c r="E36">
        <v>62101.2021484</v>
      </c>
      <c r="F36">
        <v>1441.59627746</v>
      </c>
      <c r="G36">
        <v>5770.1416507440154</v>
      </c>
    </row>
    <row r="37" spans="1:7" ht="13" x14ac:dyDescent="0.15">
      <c r="A37">
        <v>9702</v>
      </c>
      <c r="B37" t="s">
        <v>9</v>
      </c>
      <c r="C37">
        <v>120</v>
      </c>
      <c r="D37" t="s">
        <v>10</v>
      </c>
      <c r="E37">
        <v>70358.889160199993</v>
      </c>
      <c r="F37">
        <v>1468.8386669900001</v>
      </c>
      <c r="G37">
        <v>6537.4058781275526</v>
      </c>
    </row>
    <row r="38" spans="1:7" ht="13" x14ac:dyDescent="0.15">
      <c r="A38">
        <v>9703</v>
      </c>
      <c r="B38" t="s">
        <v>9</v>
      </c>
      <c r="C38">
        <v>120</v>
      </c>
      <c r="D38" t="s">
        <v>10</v>
      </c>
      <c r="E38">
        <v>70376.935058599993</v>
      </c>
      <c r="F38">
        <v>1469.1586716300001</v>
      </c>
      <c r="G38">
        <v>6539.0823716577142</v>
      </c>
    </row>
    <row r="39" spans="1:7" ht="13" x14ac:dyDescent="0.15">
      <c r="A39">
        <v>9704</v>
      </c>
      <c r="B39" t="s">
        <v>9</v>
      </c>
      <c r="C39">
        <v>120</v>
      </c>
      <c r="D39" t="s">
        <v>10</v>
      </c>
      <c r="E39">
        <v>75772.8154297</v>
      </c>
      <c r="F39">
        <v>1486.48381707</v>
      </c>
      <c r="G39">
        <v>7040.4415543319192</v>
      </c>
    </row>
    <row r="40" spans="1:7" ht="13" x14ac:dyDescent="0.15">
      <c r="A40">
        <v>9710</v>
      </c>
      <c r="B40" t="s">
        <v>9</v>
      </c>
      <c r="C40">
        <v>120</v>
      </c>
      <c r="D40" t="s">
        <v>10</v>
      </c>
      <c r="E40">
        <v>108123.429688</v>
      </c>
      <c r="F40">
        <v>2026.66377762</v>
      </c>
      <c r="G40">
        <v>10046.303881815869</v>
      </c>
    </row>
    <row r="41" spans="1:7" ht="13" x14ac:dyDescent="0.15">
      <c r="A41">
        <v>9712</v>
      </c>
      <c r="B41" t="s">
        <v>9</v>
      </c>
      <c r="C41">
        <v>120</v>
      </c>
      <c r="D41" t="s">
        <v>10</v>
      </c>
      <c r="E41">
        <v>27252.8989258</v>
      </c>
      <c r="F41">
        <v>685.65666746700003</v>
      </c>
      <c r="G41">
        <v>2532.207462085411</v>
      </c>
    </row>
    <row r="42" spans="1:7" ht="13" x14ac:dyDescent="0.15">
      <c r="A42">
        <v>9713</v>
      </c>
      <c r="B42" t="s">
        <v>9</v>
      </c>
      <c r="C42">
        <v>120</v>
      </c>
      <c r="D42" t="s">
        <v>10</v>
      </c>
      <c r="E42">
        <v>27238.331543</v>
      </c>
      <c r="F42">
        <v>686.21049807099996</v>
      </c>
      <c r="G42">
        <v>2530.8539385981858</v>
      </c>
    </row>
    <row r="43" spans="1:7" ht="13" x14ac:dyDescent="0.15">
      <c r="A43">
        <v>9714</v>
      </c>
      <c r="B43" t="s">
        <v>9</v>
      </c>
      <c r="C43">
        <v>120</v>
      </c>
      <c r="D43" t="s">
        <v>10</v>
      </c>
      <c r="E43">
        <v>27251.9550781</v>
      </c>
      <c r="F43">
        <v>686.11862315300004</v>
      </c>
      <c r="G43">
        <v>2532.119927204214</v>
      </c>
    </row>
    <row r="44" spans="1:7" ht="13" x14ac:dyDescent="0.15">
      <c r="A44">
        <v>9715</v>
      </c>
      <c r="B44" t="s">
        <v>9</v>
      </c>
      <c r="C44">
        <v>120</v>
      </c>
      <c r="D44" t="s">
        <v>10</v>
      </c>
      <c r="E44">
        <v>30583.4677734</v>
      </c>
      <c r="F44">
        <v>739.48358602400003</v>
      </c>
      <c r="G44">
        <v>2841.6680129198362</v>
      </c>
    </row>
    <row r="45" spans="1:7" ht="13" x14ac:dyDescent="0.15">
      <c r="A45">
        <v>9716</v>
      </c>
      <c r="B45" t="s">
        <v>9</v>
      </c>
      <c r="C45">
        <v>120</v>
      </c>
      <c r="D45" t="s">
        <v>10</v>
      </c>
      <c r="E45">
        <v>32745.5576172</v>
      </c>
      <c r="F45">
        <v>773.966195664</v>
      </c>
      <c r="G45">
        <v>10290.8868851937</v>
      </c>
    </row>
    <row r="46" spans="1:7" ht="13" x14ac:dyDescent="0.15">
      <c r="A46">
        <v>14283</v>
      </c>
      <c r="B46" t="s">
        <v>11</v>
      </c>
      <c r="C46">
        <v>240</v>
      </c>
      <c r="D46" t="s">
        <v>12</v>
      </c>
      <c r="E46">
        <v>30219.4628906</v>
      </c>
      <c r="F46">
        <v>769.60721347900005</v>
      </c>
      <c r="G46">
        <v>2807.8407920058821</v>
      </c>
    </row>
    <row r="47" spans="1:7" ht="13" x14ac:dyDescent="0.15">
      <c r="A47">
        <v>14284</v>
      </c>
      <c r="B47" t="s">
        <v>11</v>
      </c>
      <c r="C47">
        <v>240</v>
      </c>
      <c r="D47" t="s">
        <v>12</v>
      </c>
      <c r="E47">
        <v>30345.1352539</v>
      </c>
      <c r="F47">
        <v>772.00353798000003</v>
      </c>
      <c r="G47">
        <v>2819.517662278377</v>
      </c>
    </row>
    <row r="48" spans="1:7" ht="13" x14ac:dyDescent="0.15">
      <c r="A48">
        <v>14285</v>
      </c>
      <c r="B48" t="s">
        <v>11</v>
      </c>
      <c r="C48">
        <v>240</v>
      </c>
      <c r="D48" t="s">
        <v>12</v>
      </c>
      <c r="E48">
        <v>24487.934082</v>
      </c>
      <c r="F48">
        <v>690.13200159300004</v>
      </c>
      <c r="G48">
        <v>2275.2960438260338</v>
      </c>
    </row>
    <row r="49" spans="1:7" ht="13" x14ac:dyDescent="0.15">
      <c r="A49">
        <v>14286</v>
      </c>
      <c r="B49" t="s">
        <v>11</v>
      </c>
      <c r="C49">
        <v>240</v>
      </c>
      <c r="D49" t="s">
        <v>12</v>
      </c>
      <c r="E49">
        <v>23896.6879883</v>
      </c>
      <c r="F49">
        <v>676.39115641900003</v>
      </c>
      <c r="G49">
        <v>2220.36042458567</v>
      </c>
    </row>
    <row r="50" spans="1:7" ht="13" x14ac:dyDescent="0.15">
      <c r="A50">
        <v>14288</v>
      </c>
      <c r="B50" t="s">
        <v>11</v>
      </c>
      <c r="C50">
        <v>240</v>
      </c>
      <c r="D50" t="s">
        <v>12</v>
      </c>
      <c r="E50">
        <v>26049.9775391</v>
      </c>
      <c r="F50">
        <v>689.96975785899997</v>
      </c>
      <c r="G50">
        <v>2420.4333369163801</v>
      </c>
    </row>
    <row r="51" spans="1:7" ht="13" x14ac:dyDescent="0.15">
      <c r="A51">
        <v>14290</v>
      </c>
      <c r="B51" t="s">
        <v>11</v>
      </c>
      <c r="C51">
        <v>240</v>
      </c>
      <c r="D51" t="s">
        <v>12</v>
      </c>
      <c r="E51">
        <v>26265.3837891</v>
      </c>
      <c r="F51">
        <v>692.27597276899996</v>
      </c>
      <c r="G51">
        <v>2656.4861648176161</v>
      </c>
    </row>
    <row r="52" spans="1:7" ht="13" x14ac:dyDescent="0.15">
      <c r="A52">
        <v>14293</v>
      </c>
      <c r="B52" t="s">
        <v>11</v>
      </c>
      <c r="C52">
        <v>240</v>
      </c>
      <c r="D52" t="s">
        <v>12</v>
      </c>
      <c r="E52">
        <v>26207.2094727</v>
      </c>
      <c r="F52">
        <v>692.12341048300004</v>
      </c>
      <c r="G52">
        <v>2435.042618126608</v>
      </c>
    </row>
    <row r="53" spans="1:7" ht="13" x14ac:dyDescent="0.15">
      <c r="A53">
        <v>14295</v>
      </c>
      <c r="B53" t="s">
        <v>11</v>
      </c>
      <c r="C53">
        <v>240</v>
      </c>
      <c r="D53" t="s">
        <v>12</v>
      </c>
      <c r="E53">
        <v>26069.0244141</v>
      </c>
      <c r="F53">
        <v>689.72635844599995</v>
      </c>
      <c r="G53">
        <v>2422.2031245101239</v>
      </c>
    </row>
    <row r="54" spans="1:7" ht="13" x14ac:dyDescent="0.15">
      <c r="A54">
        <v>14297</v>
      </c>
      <c r="B54" t="s">
        <v>11</v>
      </c>
      <c r="C54">
        <v>240</v>
      </c>
      <c r="D54" t="s">
        <v>12</v>
      </c>
      <c r="E54">
        <v>12548.015625</v>
      </c>
      <c r="F54">
        <v>448.14886588799999</v>
      </c>
      <c r="G54">
        <v>1165.8987595140929</v>
      </c>
    </row>
    <row r="55" spans="1:7" ht="13" x14ac:dyDescent="0.15">
      <c r="A55">
        <v>14299</v>
      </c>
      <c r="B55" t="s">
        <v>11</v>
      </c>
      <c r="C55">
        <v>240</v>
      </c>
      <c r="D55" t="s">
        <v>12</v>
      </c>
      <c r="E55">
        <v>29917.6733398</v>
      </c>
      <c r="F55">
        <v>764.10769732200004</v>
      </c>
      <c r="G55">
        <v>2779.800426280126</v>
      </c>
    </row>
    <row r="56" spans="1:7" ht="13" x14ac:dyDescent="0.15">
      <c r="A56">
        <v>14300</v>
      </c>
      <c r="B56" t="s">
        <v>11</v>
      </c>
      <c r="C56">
        <v>240</v>
      </c>
      <c r="D56" t="s">
        <v>12</v>
      </c>
      <c r="E56">
        <v>29905.4472656</v>
      </c>
      <c r="F56">
        <v>764.07513787200003</v>
      </c>
      <c r="G56">
        <v>2778.6644042320549</v>
      </c>
    </row>
    <row r="57" spans="1:7" ht="13" x14ac:dyDescent="0.15">
      <c r="A57">
        <v>14303</v>
      </c>
      <c r="B57" t="s">
        <v>11</v>
      </c>
      <c r="C57">
        <v>240</v>
      </c>
      <c r="D57" t="s">
        <v>12</v>
      </c>
      <c r="E57">
        <v>28157.046875</v>
      </c>
      <c r="F57">
        <v>756.47392761699996</v>
      </c>
      <c r="G57">
        <v>2616.21173878538</v>
      </c>
    </row>
    <row r="58" spans="1:7" ht="13" x14ac:dyDescent="0.15">
      <c r="A58">
        <v>14309</v>
      </c>
      <c r="B58" t="s">
        <v>11</v>
      </c>
      <c r="C58">
        <v>240</v>
      </c>
      <c r="D58" t="s">
        <v>12</v>
      </c>
      <c r="E58">
        <v>31427.6196289</v>
      </c>
      <c r="F58">
        <v>760.98719411000002</v>
      </c>
      <c r="G58">
        <v>2920.0971244815742</v>
      </c>
    </row>
    <row r="59" spans="1:7" ht="13" x14ac:dyDescent="0.15">
      <c r="A59">
        <v>14311</v>
      </c>
      <c r="B59" t="s">
        <v>11</v>
      </c>
      <c r="C59">
        <v>240</v>
      </c>
      <c r="D59" t="s">
        <v>12</v>
      </c>
      <c r="E59">
        <v>26355.8310547</v>
      </c>
      <c r="F59">
        <v>677.79841252799997</v>
      </c>
      <c r="G59">
        <v>2448.8519487055019</v>
      </c>
    </row>
    <row r="60" spans="1:7" ht="13" x14ac:dyDescent="0.15">
      <c r="A60">
        <v>14313</v>
      </c>
      <c r="B60" t="s">
        <v>11</v>
      </c>
      <c r="C60">
        <v>240</v>
      </c>
      <c r="D60" t="s">
        <v>12</v>
      </c>
      <c r="E60">
        <v>26437.0800781</v>
      </c>
      <c r="F60">
        <v>679.20910150899999</v>
      </c>
      <c r="G60">
        <v>2456.4012535633519</v>
      </c>
    </row>
    <row r="61" spans="1:7" ht="13" x14ac:dyDescent="0.15">
      <c r="A61">
        <v>14314</v>
      </c>
      <c r="B61" t="s">
        <v>11</v>
      </c>
      <c r="C61">
        <v>240</v>
      </c>
      <c r="D61" t="s">
        <v>12</v>
      </c>
      <c r="E61">
        <v>26372.4311523</v>
      </c>
      <c r="F61">
        <v>678.05620511300003</v>
      </c>
      <c r="G61">
        <v>2450.3943421300501</v>
      </c>
    </row>
    <row r="62" spans="1:7" ht="13" x14ac:dyDescent="0.15">
      <c r="A62">
        <v>14316</v>
      </c>
      <c r="B62" t="s">
        <v>11</v>
      </c>
      <c r="C62">
        <v>240</v>
      </c>
      <c r="D62" t="s">
        <v>12</v>
      </c>
      <c r="E62">
        <v>29453.3354492</v>
      </c>
      <c r="F62">
        <v>753.094244903</v>
      </c>
      <c r="G62">
        <v>2736.656621805741</v>
      </c>
    </row>
    <row r="63" spans="1:7" ht="13" x14ac:dyDescent="0.15">
      <c r="A63">
        <v>14320</v>
      </c>
      <c r="B63" t="s">
        <v>11</v>
      </c>
      <c r="C63">
        <v>240</v>
      </c>
      <c r="D63" t="s">
        <v>12</v>
      </c>
      <c r="E63">
        <v>31273.1948242</v>
      </c>
      <c r="F63">
        <v>785.769904795</v>
      </c>
      <c r="G63">
        <v>2905.748828352429</v>
      </c>
    </row>
    <row r="64" spans="1:7" ht="13" x14ac:dyDescent="0.15">
      <c r="A64">
        <v>14384</v>
      </c>
      <c r="B64" t="s">
        <v>11</v>
      </c>
      <c r="C64">
        <v>240</v>
      </c>
      <c r="D64" t="s">
        <v>12</v>
      </c>
      <c r="E64">
        <v>82276.109863299993</v>
      </c>
      <c r="F64">
        <v>1709.41231485</v>
      </c>
      <c r="G64">
        <v>7644.6863631555134</v>
      </c>
    </row>
    <row r="65" spans="1:7" ht="13" x14ac:dyDescent="0.15">
      <c r="A65">
        <v>14424</v>
      </c>
      <c r="B65" t="s">
        <v>11</v>
      </c>
      <c r="C65">
        <v>240</v>
      </c>
      <c r="D65" t="s">
        <v>12</v>
      </c>
      <c r="E65">
        <v>84375.0585938</v>
      </c>
      <c r="F65">
        <v>1842.44143175</v>
      </c>
      <c r="G65">
        <v>7839.714880026062</v>
      </c>
    </row>
    <row r="66" spans="1:7" ht="13" x14ac:dyDescent="0.15">
      <c r="A66">
        <v>14427</v>
      </c>
      <c r="B66" t="s">
        <v>11</v>
      </c>
      <c r="C66">
        <v>240</v>
      </c>
      <c r="D66" t="s">
        <v>12</v>
      </c>
      <c r="E66">
        <v>114749.21142599999</v>
      </c>
      <c r="F66">
        <v>2211.68291133</v>
      </c>
      <c r="G66">
        <v>10661.931627137181</v>
      </c>
    </row>
    <row r="67" spans="1:7" ht="13" x14ac:dyDescent="0.15">
      <c r="A67">
        <v>14480</v>
      </c>
      <c r="B67" t="s">
        <v>11</v>
      </c>
      <c r="C67">
        <v>240</v>
      </c>
      <c r="D67" t="s">
        <v>12</v>
      </c>
      <c r="E67">
        <v>68870.371582000007</v>
      </c>
      <c r="F67">
        <v>1463.7083603799999</v>
      </c>
      <c r="G67">
        <v>6399.0997838824987</v>
      </c>
    </row>
    <row r="68" spans="1:7" ht="13" x14ac:dyDescent="0.15">
      <c r="A68">
        <v>14482</v>
      </c>
      <c r="B68" t="s">
        <v>11</v>
      </c>
      <c r="C68">
        <v>240</v>
      </c>
      <c r="D68" t="s">
        <v>12</v>
      </c>
      <c r="E68">
        <v>68438.6357422</v>
      </c>
      <c r="F68">
        <v>1733.57169301</v>
      </c>
      <c r="G68">
        <v>6358.9848828292452</v>
      </c>
    </row>
    <row r="69" spans="1:7" ht="13" x14ac:dyDescent="0.15">
      <c r="A69">
        <v>14905</v>
      </c>
      <c r="B69" t="s">
        <v>13</v>
      </c>
      <c r="C69">
        <v>320</v>
      </c>
      <c r="D69" t="s">
        <v>14</v>
      </c>
      <c r="E69">
        <v>54894.6806641</v>
      </c>
      <c r="F69">
        <v>1297.7349300000001</v>
      </c>
      <c r="G69">
        <v>5100.5400493616471</v>
      </c>
    </row>
    <row r="70" spans="1:7" ht="13" x14ac:dyDescent="0.15">
      <c r="A70">
        <v>14907</v>
      </c>
      <c r="B70" t="s">
        <v>13</v>
      </c>
      <c r="C70">
        <v>320</v>
      </c>
      <c r="D70" t="s">
        <v>14</v>
      </c>
      <c r="E70">
        <v>112085.229492</v>
      </c>
      <c r="F70">
        <v>2189.0330732000002</v>
      </c>
      <c r="G70">
        <v>10815.83002462733</v>
      </c>
    </row>
    <row r="71" spans="1:7" ht="13" x14ac:dyDescent="0.15">
      <c r="A71">
        <v>14908</v>
      </c>
      <c r="B71" t="s">
        <v>13</v>
      </c>
      <c r="C71">
        <v>320</v>
      </c>
      <c r="D71" t="s">
        <v>14</v>
      </c>
      <c r="E71">
        <v>269496.62841800001</v>
      </c>
      <c r="F71">
        <v>2101.1757333300002</v>
      </c>
      <c r="G71">
        <v>25040.315846573831</v>
      </c>
    </row>
    <row r="72" spans="1:7" ht="13" x14ac:dyDescent="0.15">
      <c r="A72">
        <v>14909</v>
      </c>
      <c r="B72" t="s">
        <v>13</v>
      </c>
      <c r="C72">
        <v>320</v>
      </c>
      <c r="D72" t="s">
        <v>14</v>
      </c>
      <c r="E72">
        <v>92362.1083984</v>
      </c>
      <c r="F72">
        <v>1756.8834670799999</v>
      </c>
      <c r="G72">
        <v>8784.9353182109044</v>
      </c>
    </row>
    <row r="73" spans="1:7" ht="13" x14ac:dyDescent="0.15">
      <c r="A73">
        <v>16522</v>
      </c>
      <c r="B73" t="s">
        <v>15</v>
      </c>
      <c r="C73">
        <v>220</v>
      </c>
      <c r="D73" t="s">
        <v>16</v>
      </c>
      <c r="E73">
        <v>68310.899902300007</v>
      </c>
      <c r="F73">
        <v>1346.9435040200001</v>
      </c>
      <c r="G73">
        <v>6347.1082160446094</v>
      </c>
    </row>
    <row r="74" spans="1:7" ht="13" x14ac:dyDescent="0.15">
      <c r="A74">
        <v>25620</v>
      </c>
      <c r="B74" t="s">
        <v>17</v>
      </c>
      <c r="C74">
        <v>110</v>
      </c>
      <c r="D74" t="s">
        <v>18</v>
      </c>
      <c r="E74">
        <v>70000.1669922</v>
      </c>
      <c r="F74">
        <v>1356.0140076</v>
      </c>
      <c r="G74">
        <v>6504.0664012527559</v>
      </c>
    </row>
    <row r="75" spans="1:7" ht="13" x14ac:dyDescent="0.15">
      <c r="A75">
        <v>25625</v>
      </c>
      <c r="B75" t="s">
        <v>17</v>
      </c>
      <c r="C75">
        <v>110</v>
      </c>
      <c r="D75" t="s">
        <v>18</v>
      </c>
      <c r="E75">
        <v>69992.0556641</v>
      </c>
      <c r="F75">
        <v>1355.61124991</v>
      </c>
      <c r="G75">
        <v>6503.3128275600029</v>
      </c>
    </row>
    <row r="76" spans="1:7" ht="13" x14ac:dyDescent="0.15">
      <c r="A76">
        <v>25628</v>
      </c>
      <c r="B76" t="s">
        <v>17</v>
      </c>
      <c r="C76">
        <v>110</v>
      </c>
      <c r="D76" t="s">
        <v>18</v>
      </c>
      <c r="E76">
        <v>67959.940917999993</v>
      </c>
      <c r="F76">
        <v>1348.3474695800001</v>
      </c>
      <c r="G76">
        <v>6314.4990421039984</v>
      </c>
    </row>
    <row r="77" spans="1:7" ht="13" x14ac:dyDescent="0.15">
      <c r="A77">
        <v>25644</v>
      </c>
      <c r="B77" t="s">
        <v>17</v>
      </c>
      <c r="C77">
        <v>110</v>
      </c>
      <c r="D77" t="s">
        <v>18</v>
      </c>
      <c r="E77">
        <v>95590.645019500007</v>
      </c>
      <c r="F77">
        <v>1740.7108408700001</v>
      </c>
      <c r="G77">
        <v>8881.8060477336403</v>
      </c>
    </row>
    <row r="78" spans="1:7" ht="13" x14ac:dyDescent="0.15">
      <c r="A78">
        <v>25649</v>
      </c>
      <c r="B78" t="s">
        <v>17</v>
      </c>
      <c r="C78">
        <v>110</v>
      </c>
      <c r="D78" t="s">
        <v>18</v>
      </c>
      <c r="E78">
        <v>95481.551269500007</v>
      </c>
      <c r="F78">
        <v>1738.10377234</v>
      </c>
      <c r="G78">
        <v>8871.6698879550677</v>
      </c>
    </row>
    <row r="79" spans="1:7" ht="13" x14ac:dyDescent="0.15">
      <c r="A79">
        <v>25651</v>
      </c>
      <c r="B79" t="s">
        <v>17</v>
      </c>
      <c r="C79">
        <v>110</v>
      </c>
      <c r="D79" t="s">
        <v>18</v>
      </c>
      <c r="E79">
        <v>95412.3974609</v>
      </c>
      <c r="F79">
        <v>1737.61525695</v>
      </c>
      <c r="G79">
        <v>8865.2443783313502</v>
      </c>
    </row>
    <row r="80" spans="1:7" ht="13" x14ac:dyDescent="0.15">
      <c r="A80">
        <v>25654</v>
      </c>
      <c r="B80" t="s">
        <v>17</v>
      </c>
      <c r="C80">
        <v>110</v>
      </c>
      <c r="D80" t="s">
        <v>18</v>
      </c>
      <c r="E80">
        <v>94944.065917999993</v>
      </c>
      <c r="F80">
        <v>1733.3950698900001</v>
      </c>
      <c r="G80">
        <v>8821.7293851561844</v>
      </c>
    </row>
    <row r="81" spans="1:7" ht="13" x14ac:dyDescent="0.15">
      <c r="A81">
        <v>25659</v>
      </c>
      <c r="B81" t="s">
        <v>17</v>
      </c>
      <c r="C81">
        <v>110</v>
      </c>
      <c r="D81" t="s">
        <v>18</v>
      </c>
      <c r="E81">
        <v>81852.049316400007</v>
      </c>
      <c r="F81">
        <v>1696.8237750599999</v>
      </c>
      <c r="G81">
        <v>7605.2846363626886</v>
      </c>
    </row>
    <row r="82" spans="1:7" ht="13" x14ac:dyDescent="0.15">
      <c r="A82">
        <v>25661</v>
      </c>
      <c r="B82" t="s">
        <v>17</v>
      </c>
      <c r="C82">
        <v>110</v>
      </c>
      <c r="D82" t="s">
        <v>18</v>
      </c>
      <c r="E82">
        <v>81623.350097699993</v>
      </c>
      <c r="F82">
        <v>1693.24346567</v>
      </c>
      <c r="G82">
        <v>7584.0352089898661</v>
      </c>
    </row>
    <row r="83" spans="1:7" ht="13" x14ac:dyDescent="0.15">
      <c r="A83">
        <v>25663</v>
      </c>
      <c r="B83" t="s">
        <v>17</v>
      </c>
      <c r="C83">
        <v>110</v>
      </c>
      <c r="D83" t="s">
        <v>18</v>
      </c>
      <c r="E83">
        <v>81033.4472656</v>
      </c>
      <c r="F83">
        <v>1682.78555317</v>
      </c>
      <c r="G83">
        <v>7529.2241136096418</v>
      </c>
    </row>
    <row r="84" spans="1:7" ht="13" x14ac:dyDescent="0.15">
      <c r="A84">
        <v>25665</v>
      </c>
      <c r="B84" t="s">
        <v>17</v>
      </c>
      <c r="C84">
        <v>110</v>
      </c>
      <c r="D84" t="s">
        <v>18</v>
      </c>
      <c r="E84">
        <v>81286.945800799993</v>
      </c>
      <c r="F84">
        <v>1686.3021500899999</v>
      </c>
      <c r="G84">
        <v>7552.7779405534966</v>
      </c>
    </row>
    <row r="85" spans="1:7" ht="13" x14ac:dyDescent="0.15">
      <c r="A85">
        <v>25673</v>
      </c>
      <c r="B85" t="s">
        <v>17</v>
      </c>
      <c r="C85">
        <v>110</v>
      </c>
      <c r="D85" t="s">
        <v>18</v>
      </c>
      <c r="E85">
        <v>336167.28955099999</v>
      </c>
      <c r="F85">
        <v>5075.2177862199997</v>
      </c>
      <c r="G85">
        <v>31499.004867075771</v>
      </c>
    </row>
    <row r="86" spans="1:7" ht="13" x14ac:dyDescent="0.15">
      <c r="A86">
        <v>25675</v>
      </c>
      <c r="B86" t="s">
        <v>17</v>
      </c>
      <c r="C86">
        <v>110</v>
      </c>
      <c r="D86" t="s">
        <v>18</v>
      </c>
      <c r="E86">
        <v>161961.22021500001</v>
      </c>
      <c r="F86">
        <v>2717.0194310400002</v>
      </c>
      <c r="G86">
        <v>15048.63001107556</v>
      </c>
    </row>
    <row r="87" spans="1:7" ht="13" x14ac:dyDescent="0.15">
      <c r="A87">
        <v>25677</v>
      </c>
      <c r="B87" t="s">
        <v>17</v>
      </c>
      <c r="C87">
        <v>110</v>
      </c>
      <c r="D87" t="s">
        <v>18</v>
      </c>
      <c r="E87">
        <v>76755.277832000007</v>
      </c>
      <c r="F87">
        <v>1670.00562395</v>
      </c>
      <c r="G87">
        <v>7131.7180824936622</v>
      </c>
    </row>
    <row r="88" spans="1:7" ht="13" x14ac:dyDescent="0.15">
      <c r="A88">
        <v>25681</v>
      </c>
      <c r="B88" t="s">
        <v>17</v>
      </c>
      <c r="C88">
        <v>110</v>
      </c>
      <c r="D88" t="s">
        <v>18</v>
      </c>
      <c r="E88">
        <v>84233.3583984</v>
      </c>
      <c r="F88">
        <v>1692.4020685099999</v>
      </c>
      <c r="G88">
        <v>7826.5441683630916</v>
      </c>
    </row>
    <row r="89" spans="1:7" ht="13" x14ac:dyDescent="0.15">
      <c r="A89">
        <v>25683</v>
      </c>
      <c r="B89" t="s">
        <v>17</v>
      </c>
      <c r="C89">
        <v>110</v>
      </c>
      <c r="D89" t="s">
        <v>18</v>
      </c>
      <c r="E89">
        <v>92724.1621094</v>
      </c>
      <c r="F89">
        <v>1714.13692343</v>
      </c>
      <c r="G89">
        <v>8615.4674153761007</v>
      </c>
    </row>
    <row r="90" spans="1:7" ht="13" x14ac:dyDescent="0.15">
      <c r="A90">
        <v>25687</v>
      </c>
      <c r="B90" t="s">
        <v>17</v>
      </c>
      <c r="C90">
        <v>110</v>
      </c>
      <c r="D90" t="s">
        <v>18</v>
      </c>
      <c r="E90">
        <v>92692.0361328</v>
      </c>
      <c r="F90">
        <v>1714.01385708</v>
      </c>
      <c r="G90">
        <v>8612.4823663027491</v>
      </c>
    </row>
    <row r="91" spans="1:7" ht="13" x14ac:dyDescent="0.15">
      <c r="A91">
        <v>25939</v>
      </c>
      <c r="B91" t="s">
        <v>17</v>
      </c>
      <c r="C91">
        <v>110</v>
      </c>
      <c r="D91" t="s">
        <v>18</v>
      </c>
      <c r="E91">
        <v>104751.421875</v>
      </c>
      <c r="F91">
        <v>1882.21995124</v>
      </c>
      <c r="G91">
        <v>9732.9860061046202</v>
      </c>
    </row>
    <row r="92" spans="1:7" ht="13" x14ac:dyDescent="0.15">
      <c r="A92">
        <v>25940</v>
      </c>
      <c r="B92" t="s">
        <v>17</v>
      </c>
      <c r="C92">
        <v>110</v>
      </c>
      <c r="D92" t="s">
        <v>18</v>
      </c>
      <c r="E92">
        <v>105059.90966799999</v>
      </c>
      <c r="F92">
        <v>1892.2847173600001</v>
      </c>
      <c r="G92">
        <v>9761.648840660695</v>
      </c>
    </row>
    <row r="93" spans="1:7" ht="13" x14ac:dyDescent="0.15">
      <c r="A93">
        <v>25943</v>
      </c>
      <c r="B93" t="s">
        <v>17</v>
      </c>
      <c r="C93">
        <v>110</v>
      </c>
      <c r="D93" t="s">
        <v>18</v>
      </c>
      <c r="E93">
        <v>104489.852539</v>
      </c>
      <c r="F93">
        <v>1878.5843215499999</v>
      </c>
      <c r="G93">
        <v>9708.6822380360682</v>
      </c>
    </row>
    <row r="94" spans="1:7" ht="13" x14ac:dyDescent="0.15">
      <c r="A94">
        <v>25945</v>
      </c>
      <c r="B94" t="s">
        <v>17</v>
      </c>
      <c r="C94">
        <v>110</v>
      </c>
      <c r="D94" t="s">
        <v>18</v>
      </c>
      <c r="E94">
        <v>104599.57080099999</v>
      </c>
      <c r="F94">
        <v>1879.9144712</v>
      </c>
      <c r="G94">
        <v>9718.8768865547609</v>
      </c>
    </row>
    <row r="95" spans="1:7" ht="13" x14ac:dyDescent="0.15">
      <c r="A95">
        <v>25947</v>
      </c>
      <c r="B95" t="s">
        <v>17</v>
      </c>
      <c r="C95">
        <v>110</v>
      </c>
      <c r="D95" t="s">
        <v>18</v>
      </c>
      <c r="E95">
        <v>194019.41845699999</v>
      </c>
      <c r="F95">
        <v>2100.6360259799999</v>
      </c>
      <c r="G95">
        <v>18027.328690168681</v>
      </c>
    </row>
    <row r="96" spans="1:7" ht="13" x14ac:dyDescent="0.15">
      <c r="A96">
        <v>25949</v>
      </c>
      <c r="B96" t="s">
        <v>17</v>
      </c>
      <c r="C96">
        <v>110</v>
      </c>
      <c r="D96" t="s">
        <v>18</v>
      </c>
      <c r="E96">
        <v>90044.3007813</v>
      </c>
      <c r="F96">
        <v>1844.9289359100001</v>
      </c>
      <c r="G96">
        <v>8366.4728475012816</v>
      </c>
    </row>
    <row r="97" spans="1:7" ht="13" x14ac:dyDescent="0.15">
      <c r="A97">
        <v>25950</v>
      </c>
      <c r="B97" t="s">
        <v>17</v>
      </c>
      <c r="C97">
        <v>110</v>
      </c>
      <c r="D97" t="s">
        <v>18</v>
      </c>
      <c r="E97">
        <v>86915.515625</v>
      </c>
      <c r="F97">
        <v>1841.75773015</v>
      </c>
      <c r="G97">
        <v>8075.7616307595736</v>
      </c>
    </row>
    <row r="98" spans="1:7" ht="13" x14ac:dyDescent="0.15">
      <c r="A98">
        <v>25952</v>
      </c>
      <c r="B98" t="s">
        <v>17</v>
      </c>
      <c r="C98">
        <v>110</v>
      </c>
      <c r="D98" t="s">
        <v>18</v>
      </c>
      <c r="E98">
        <v>189543.36962899999</v>
      </c>
      <c r="F98">
        <v>2092.8063778400001</v>
      </c>
      <c r="G98">
        <v>17611.436162212402</v>
      </c>
    </row>
    <row r="99" spans="1:7" ht="13" x14ac:dyDescent="0.15">
      <c r="A99">
        <v>25954</v>
      </c>
      <c r="B99" t="s">
        <v>17</v>
      </c>
      <c r="C99">
        <v>110</v>
      </c>
      <c r="D99" t="s">
        <v>18</v>
      </c>
      <c r="E99">
        <v>88494.546386700007</v>
      </c>
      <c r="F99">
        <v>1842.0335163</v>
      </c>
      <c r="G99">
        <v>8222.4776176835876</v>
      </c>
    </row>
    <row r="100" spans="1:7" ht="13" x14ac:dyDescent="0.15">
      <c r="A100">
        <v>25955</v>
      </c>
      <c r="B100" t="s">
        <v>17</v>
      </c>
      <c r="C100">
        <v>110</v>
      </c>
      <c r="D100" t="s">
        <v>18</v>
      </c>
      <c r="E100">
        <v>87952.0078125</v>
      </c>
      <c r="F100">
        <v>1839.8170634799999</v>
      </c>
      <c r="G100">
        <v>8172.0675856214002</v>
      </c>
    </row>
    <row r="101" spans="1:7" ht="13" x14ac:dyDescent="0.15">
      <c r="A101">
        <v>25959</v>
      </c>
      <c r="B101" t="s">
        <v>17</v>
      </c>
      <c r="C101">
        <v>110</v>
      </c>
      <c r="D101" t="s">
        <v>18</v>
      </c>
      <c r="E101">
        <v>86704.5146484</v>
      </c>
      <c r="F101">
        <v>1836.5883388699999</v>
      </c>
      <c r="G101">
        <v>8056.1564357401803</v>
      </c>
    </row>
    <row r="102" spans="1:7" ht="13" x14ac:dyDescent="0.15">
      <c r="A102">
        <v>25960</v>
      </c>
      <c r="B102" t="s">
        <v>17</v>
      </c>
      <c r="C102">
        <v>110</v>
      </c>
      <c r="D102" t="s">
        <v>18</v>
      </c>
      <c r="E102">
        <v>86550.2158203</v>
      </c>
      <c r="F102">
        <v>1835.42807447</v>
      </c>
      <c r="G102">
        <v>8041.8198599026073</v>
      </c>
    </row>
    <row r="103" spans="1:7" ht="13" x14ac:dyDescent="0.15">
      <c r="A103">
        <v>25961</v>
      </c>
      <c r="B103" t="s">
        <v>17</v>
      </c>
      <c r="C103">
        <v>110</v>
      </c>
      <c r="D103" t="s">
        <v>18</v>
      </c>
      <c r="E103">
        <v>83413.6503906</v>
      </c>
      <c r="F103">
        <v>1826.80180685</v>
      </c>
      <c r="G103">
        <v>7750.3856332576834</v>
      </c>
    </row>
    <row r="104" spans="1:7" ht="13" x14ac:dyDescent="0.15">
      <c r="A104">
        <v>25964</v>
      </c>
      <c r="B104" t="s">
        <v>17</v>
      </c>
      <c r="C104">
        <v>110</v>
      </c>
      <c r="D104" t="s">
        <v>18</v>
      </c>
      <c r="E104">
        <v>92514.787597699993</v>
      </c>
      <c r="F104">
        <v>1851.2690828499999</v>
      </c>
      <c r="G104">
        <v>8596.0186040421249</v>
      </c>
    </row>
    <row r="105" spans="1:7" ht="13" x14ac:dyDescent="0.15">
      <c r="A105">
        <v>25965</v>
      </c>
      <c r="B105" t="s">
        <v>17</v>
      </c>
      <c r="C105">
        <v>110</v>
      </c>
      <c r="D105" t="s">
        <v>18</v>
      </c>
      <c r="E105">
        <v>103070.552734</v>
      </c>
      <c r="F105">
        <v>1877.12476584</v>
      </c>
      <c r="G105">
        <v>9576.8081572665833</v>
      </c>
    </row>
    <row r="106" spans="1:7" ht="13" x14ac:dyDescent="0.15">
      <c r="A106">
        <v>25966</v>
      </c>
      <c r="B106" t="s">
        <v>17</v>
      </c>
      <c r="C106">
        <v>110</v>
      </c>
      <c r="D106" t="s">
        <v>18</v>
      </c>
      <c r="E106">
        <v>103029.59423800001</v>
      </c>
      <c r="F106">
        <v>1877.09847182</v>
      </c>
      <c r="G106">
        <v>9573.0027366133872</v>
      </c>
    </row>
    <row r="107" spans="1:7" ht="13" x14ac:dyDescent="0.15">
      <c r="A107">
        <v>25968</v>
      </c>
      <c r="B107" t="s">
        <v>17</v>
      </c>
      <c r="C107">
        <v>110</v>
      </c>
      <c r="D107" t="s">
        <v>18</v>
      </c>
      <c r="E107">
        <v>124652.280273</v>
      </c>
      <c r="F107">
        <v>2217.4948879600001</v>
      </c>
      <c r="G107">
        <v>11582.07562665956</v>
      </c>
    </row>
    <row r="108" spans="1:7" ht="13" x14ac:dyDescent="0.15">
      <c r="A108">
        <v>25970</v>
      </c>
      <c r="B108" t="s">
        <v>17</v>
      </c>
      <c r="C108">
        <v>110</v>
      </c>
      <c r="D108" t="s">
        <v>18</v>
      </c>
      <c r="E108">
        <v>124679.121094</v>
      </c>
      <c r="F108">
        <v>2217.4962301300002</v>
      </c>
      <c r="G108">
        <v>11584.56951941748</v>
      </c>
    </row>
    <row r="109" spans="1:7" ht="13" x14ac:dyDescent="0.15">
      <c r="A109">
        <v>25976</v>
      </c>
      <c r="B109" t="s">
        <v>17</v>
      </c>
      <c r="C109">
        <v>110</v>
      </c>
      <c r="D109" t="s">
        <v>18</v>
      </c>
      <c r="E109">
        <v>130831.75830099999</v>
      </c>
      <c r="F109">
        <v>2240.6627693099999</v>
      </c>
      <c r="G109">
        <v>12627.896249947489</v>
      </c>
    </row>
    <row r="110" spans="1:7" ht="13" x14ac:dyDescent="0.15">
      <c r="A110">
        <v>26003</v>
      </c>
      <c r="B110" t="s">
        <v>17</v>
      </c>
      <c r="C110">
        <v>110</v>
      </c>
      <c r="D110" t="s">
        <v>18</v>
      </c>
      <c r="E110">
        <v>21825.7568359</v>
      </c>
      <c r="F110">
        <v>596.79550302899997</v>
      </c>
      <c r="G110">
        <v>2027.942631324288</v>
      </c>
    </row>
    <row r="111" spans="1:7" ht="13" x14ac:dyDescent="0.15">
      <c r="A111">
        <v>26006</v>
      </c>
      <c r="B111" t="s">
        <v>17</v>
      </c>
      <c r="C111">
        <v>110</v>
      </c>
      <c r="D111" t="s">
        <v>18</v>
      </c>
      <c r="E111">
        <v>21435.8217773</v>
      </c>
      <c r="F111">
        <v>592.27049493300001</v>
      </c>
      <c r="G111">
        <v>1991.7116760662759</v>
      </c>
    </row>
    <row r="112" spans="1:7" ht="13" x14ac:dyDescent="0.15">
      <c r="A112">
        <v>26010</v>
      </c>
      <c r="B112" t="s">
        <v>17</v>
      </c>
      <c r="C112">
        <v>110</v>
      </c>
      <c r="D112" t="s">
        <v>18</v>
      </c>
      <c r="E112">
        <v>22361.1621094</v>
      </c>
      <c r="F112">
        <v>605.18202539000004</v>
      </c>
      <c r="G112">
        <v>2077.6897920730989</v>
      </c>
    </row>
    <row r="113" spans="1:7" ht="13" x14ac:dyDescent="0.15">
      <c r="A113">
        <v>26062</v>
      </c>
      <c r="B113" t="s">
        <v>17</v>
      </c>
      <c r="C113">
        <v>110</v>
      </c>
      <c r="D113" t="s">
        <v>18</v>
      </c>
      <c r="E113">
        <v>22652.9638672</v>
      </c>
      <c r="F113">
        <v>610.716041507</v>
      </c>
      <c r="G113">
        <v>2104.8027353603388</v>
      </c>
    </row>
    <row r="114" spans="1:7" ht="13" x14ac:dyDescent="0.15">
      <c r="A114">
        <v>26072</v>
      </c>
      <c r="B114" t="s">
        <v>17</v>
      </c>
      <c r="C114">
        <v>110</v>
      </c>
      <c r="D114" t="s">
        <v>18</v>
      </c>
      <c r="E114">
        <v>22629.0512695</v>
      </c>
      <c r="F114">
        <v>610.02496979099999</v>
      </c>
      <c r="G114">
        <v>2102.580849445425</v>
      </c>
    </row>
    <row r="115" spans="1:7" ht="13" x14ac:dyDescent="0.15">
      <c r="A115">
        <v>26079</v>
      </c>
      <c r="B115" t="s">
        <v>17</v>
      </c>
      <c r="C115">
        <v>110</v>
      </c>
      <c r="D115" t="s">
        <v>18</v>
      </c>
      <c r="E115">
        <v>25712.5219727</v>
      </c>
      <c r="F115">
        <v>635.66201285499994</v>
      </c>
      <c r="G115">
        <v>2547.7242692271961</v>
      </c>
    </row>
    <row r="116" spans="1:7" ht="13" x14ac:dyDescent="0.15">
      <c r="A116">
        <v>26222</v>
      </c>
      <c r="B116" t="s">
        <v>17</v>
      </c>
      <c r="C116">
        <v>110</v>
      </c>
      <c r="D116" t="s">
        <v>18</v>
      </c>
      <c r="E116">
        <v>80751.161621099993</v>
      </c>
      <c r="F116">
        <v>1510.35115632</v>
      </c>
      <c r="G116">
        <v>7503.0043903330807</v>
      </c>
    </row>
    <row r="117" spans="1:7" ht="13" x14ac:dyDescent="0.15">
      <c r="A117">
        <v>26240</v>
      </c>
      <c r="B117" t="s">
        <v>17</v>
      </c>
      <c r="C117">
        <v>110</v>
      </c>
      <c r="D117" t="s">
        <v>18</v>
      </c>
      <c r="E117">
        <v>66469.8193359</v>
      </c>
      <c r="F117">
        <v>1463.7500238600001</v>
      </c>
      <c r="G117">
        <v>6176.051640358055</v>
      </c>
    </row>
    <row r="118" spans="1:7" ht="13" x14ac:dyDescent="0.15">
      <c r="A118">
        <v>26241</v>
      </c>
      <c r="B118" t="s">
        <v>17</v>
      </c>
      <c r="C118">
        <v>110</v>
      </c>
      <c r="D118" t="s">
        <v>18</v>
      </c>
      <c r="E118">
        <v>70205.2363281</v>
      </c>
      <c r="F118">
        <v>1474.4848864000001</v>
      </c>
      <c r="G118">
        <v>6523.1285093820188</v>
      </c>
    </row>
    <row r="119" spans="1:7" ht="13" x14ac:dyDescent="0.15">
      <c r="A119">
        <v>26248</v>
      </c>
      <c r="B119" t="s">
        <v>17</v>
      </c>
      <c r="C119">
        <v>110</v>
      </c>
      <c r="D119" t="s">
        <v>18</v>
      </c>
      <c r="E119">
        <v>67594.7910156</v>
      </c>
      <c r="F119">
        <v>1465.7866977199999</v>
      </c>
      <c r="G119">
        <v>6280.5786245884374</v>
      </c>
    </row>
    <row r="120" spans="1:7" ht="13" x14ac:dyDescent="0.15">
      <c r="A120">
        <v>26252</v>
      </c>
      <c r="B120" t="s">
        <v>17</v>
      </c>
      <c r="C120">
        <v>110</v>
      </c>
      <c r="D120" t="s">
        <v>18</v>
      </c>
      <c r="E120">
        <v>67502.018066400007</v>
      </c>
      <c r="F120">
        <v>1465.7601850200001</v>
      </c>
      <c r="G120">
        <v>6271.9584358807188</v>
      </c>
    </row>
    <row r="121" spans="1:7" ht="13" x14ac:dyDescent="0.15">
      <c r="A121">
        <v>26257</v>
      </c>
      <c r="B121" t="s">
        <v>17</v>
      </c>
      <c r="C121">
        <v>110</v>
      </c>
      <c r="D121" t="s">
        <v>18</v>
      </c>
      <c r="E121">
        <v>67730.6220703</v>
      </c>
      <c r="F121">
        <v>1467.26191804</v>
      </c>
      <c r="G121">
        <v>6293.1994914701208</v>
      </c>
    </row>
    <row r="122" spans="1:7" ht="13" x14ac:dyDescent="0.15">
      <c r="A122">
        <v>26259</v>
      </c>
      <c r="B122" t="s">
        <v>17</v>
      </c>
      <c r="C122">
        <v>110</v>
      </c>
      <c r="D122" t="s">
        <v>18</v>
      </c>
      <c r="E122">
        <v>67508.6132813</v>
      </c>
      <c r="F122">
        <v>1466.4934501099999</v>
      </c>
      <c r="G122">
        <v>6272.5717365923338</v>
      </c>
    </row>
    <row r="123" spans="1:7" ht="13" x14ac:dyDescent="0.15">
      <c r="A123">
        <v>26262</v>
      </c>
      <c r="B123" t="s">
        <v>17</v>
      </c>
      <c r="C123">
        <v>110</v>
      </c>
      <c r="D123" t="s">
        <v>18</v>
      </c>
      <c r="E123">
        <v>67533.7216797</v>
      </c>
      <c r="F123">
        <v>1466.6684897499999</v>
      </c>
      <c r="G123">
        <v>6274.9041253130417</v>
      </c>
    </row>
    <row r="124" spans="1:7" ht="13" x14ac:dyDescent="0.15">
      <c r="A124">
        <v>26267</v>
      </c>
      <c r="B124" t="s">
        <v>17</v>
      </c>
      <c r="C124">
        <v>110</v>
      </c>
      <c r="D124" t="s">
        <v>18</v>
      </c>
      <c r="E124">
        <v>68084.599121099993</v>
      </c>
      <c r="F124">
        <v>1477.1729757999999</v>
      </c>
      <c r="G124">
        <v>6326.0891651061829</v>
      </c>
    </row>
    <row r="125" spans="1:7" ht="13" x14ac:dyDescent="0.15">
      <c r="A125">
        <v>26299</v>
      </c>
      <c r="B125" t="s">
        <v>17</v>
      </c>
      <c r="C125">
        <v>110</v>
      </c>
      <c r="D125" t="s">
        <v>18</v>
      </c>
      <c r="E125">
        <v>182350.46337899999</v>
      </c>
      <c r="F125">
        <v>1999.94558392</v>
      </c>
      <c r="G125">
        <v>16943.117189329121</v>
      </c>
    </row>
    <row r="126" spans="1:7" ht="13" x14ac:dyDescent="0.15">
      <c r="A126">
        <v>26307</v>
      </c>
      <c r="B126" t="s">
        <v>17</v>
      </c>
      <c r="C126">
        <v>110</v>
      </c>
      <c r="D126" t="s">
        <v>18</v>
      </c>
      <c r="E126">
        <v>28707.2290039</v>
      </c>
      <c r="F126">
        <v>719.80005212200001</v>
      </c>
      <c r="G126">
        <v>2667.3365925075491</v>
      </c>
    </row>
    <row r="127" spans="1:7" ht="13" x14ac:dyDescent="0.15">
      <c r="A127">
        <v>26312</v>
      </c>
      <c r="B127" t="s">
        <v>17</v>
      </c>
      <c r="C127">
        <v>110</v>
      </c>
      <c r="D127" t="s">
        <v>18</v>
      </c>
      <c r="E127">
        <v>27060.9716797</v>
      </c>
      <c r="F127">
        <v>699.00889453000002</v>
      </c>
      <c r="G127">
        <v>2514.374389585108</v>
      </c>
    </row>
    <row r="128" spans="1:7" ht="13" x14ac:dyDescent="0.15">
      <c r="A128">
        <v>26321</v>
      </c>
      <c r="B128" t="s">
        <v>17</v>
      </c>
      <c r="C128">
        <v>110</v>
      </c>
      <c r="D128" t="s">
        <v>18</v>
      </c>
      <c r="E128">
        <v>27038.1899414</v>
      </c>
      <c r="F128">
        <v>698.80534742999998</v>
      </c>
      <c r="G128">
        <v>2512.2576909428458</v>
      </c>
    </row>
    <row r="129" spans="1:7" ht="13" x14ac:dyDescent="0.15">
      <c r="A129">
        <v>26324</v>
      </c>
      <c r="B129" t="s">
        <v>17</v>
      </c>
      <c r="C129">
        <v>110</v>
      </c>
      <c r="D129" t="s">
        <v>18</v>
      </c>
      <c r="E129">
        <v>27443.9501953</v>
      </c>
      <c r="F129">
        <v>702.47122420799997</v>
      </c>
      <c r="G129">
        <v>2549.9589815232898</v>
      </c>
    </row>
    <row r="130" spans="1:7" ht="13" x14ac:dyDescent="0.15">
      <c r="A130">
        <v>26325</v>
      </c>
      <c r="B130" t="s">
        <v>17</v>
      </c>
      <c r="C130">
        <v>110</v>
      </c>
      <c r="D130" t="s">
        <v>18</v>
      </c>
      <c r="E130">
        <v>12016.4389648</v>
      </c>
      <c r="F130">
        <v>440.33189578999998</v>
      </c>
      <c r="G130">
        <v>7099.1152508372743</v>
      </c>
    </row>
    <row r="131" spans="1:7" ht="13" x14ac:dyDescent="0.15">
      <c r="A131">
        <v>26333</v>
      </c>
      <c r="B131" t="s">
        <v>17</v>
      </c>
      <c r="C131">
        <v>110</v>
      </c>
      <c r="D131" t="s">
        <v>18</v>
      </c>
      <c r="E131">
        <v>71531.3417969</v>
      </c>
      <c r="F131">
        <v>1373.4590276900001</v>
      </c>
      <c r="G131">
        <v>6646.3448059462244</v>
      </c>
    </row>
    <row r="132" spans="1:7" ht="13" x14ac:dyDescent="0.15">
      <c r="A132">
        <v>26334</v>
      </c>
      <c r="B132" t="s">
        <v>17</v>
      </c>
      <c r="C132">
        <v>110</v>
      </c>
      <c r="D132" t="s">
        <v>18</v>
      </c>
      <c r="E132">
        <v>92650.4208984</v>
      </c>
      <c r="F132">
        <v>1750.1883018799999</v>
      </c>
      <c r="G132">
        <v>8608.6263888240792</v>
      </c>
    </row>
    <row r="133" spans="1:7" ht="13" x14ac:dyDescent="0.15">
      <c r="A133">
        <v>26339</v>
      </c>
      <c r="B133" t="s">
        <v>17</v>
      </c>
      <c r="C133">
        <v>110</v>
      </c>
      <c r="D133" t="s">
        <v>18</v>
      </c>
      <c r="E133">
        <v>97602.8720703</v>
      </c>
      <c r="F133">
        <v>1784.73023941</v>
      </c>
      <c r="G133">
        <v>9068.7839428249281</v>
      </c>
    </row>
    <row r="134" spans="1:7" ht="13" x14ac:dyDescent="0.15">
      <c r="A134">
        <v>26343</v>
      </c>
      <c r="B134" t="s">
        <v>17</v>
      </c>
      <c r="C134">
        <v>110</v>
      </c>
      <c r="D134" t="s">
        <v>18</v>
      </c>
      <c r="E134">
        <v>73204.086425799993</v>
      </c>
      <c r="F134">
        <v>1399.6913958800001</v>
      </c>
      <c r="G134">
        <v>6801.7679529610323</v>
      </c>
    </row>
    <row r="135" spans="1:7" ht="13" x14ac:dyDescent="0.15">
      <c r="A135">
        <v>26347</v>
      </c>
      <c r="B135" t="s">
        <v>17</v>
      </c>
      <c r="C135">
        <v>110</v>
      </c>
      <c r="D135" t="s">
        <v>18</v>
      </c>
      <c r="E135">
        <v>97751.8779297</v>
      </c>
      <c r="F135">
        <v>1786.1310310599999</v>
      </c>
      <c r="G135">
        <v>9082.629015507322</v>
      </c>
    </row>
    <row r="136" spans="1:7" ht="13" x14ac:dyDescent="0.15">
      <c r="A136">
        <v>26349</v>
      </c>
      <c r="B136" t="s">
        <v>17</v>
      </c>
      <c r="C136">
        <v>110</v>
      </c>
      <c r="D136" t="s">
        <v>18</v>
      </c>
      <c r="E136">
        <v>71319.9199219</v>
      </c>
      <c r="F136">
        <v>1370.3556302100001</v>
      </c>
      <c r="G136">
        <v>6626.7006830659229</v>
      </c>
    </row>
    <row r="137" spans="1:7" ht="13" x14ac:dyDescent="0.15">
      <c r="A137">
        <v>28126</v>
      </c>
      <c r="B137" t="s">
        <v>19</v>
      </c>
      <c r="C137">
        <v>130</v>
      </c>
      <c r="D137" t="s">
        <v>20</v>
      </c>
      <c r="E137">
        <v>17824.0463867</v>
      </c>
      <c r="F137">
        <v>539.66451010599997</v>
      </c>
      <c r="G137">
        <v>1656.1239647702739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studyarea_zoning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0</cp:revision>
  <dcterms:modified xsi:type="dcterms:W3CDTF">2026-05-11T14:47:26Z</dcterms:modified>
</cp:coreProperties>
</file>